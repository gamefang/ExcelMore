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90" windowWidth="19200" windowHeight="11640" activeTab="6"/>
  </bookViews>
  <sheets>
    <sheet name="使用方法" sheetId="4" r:id="rId1"/>
    <sheet name="html&amp;h2s" sheetId="1" r:id="rId2"/>
    <sheet name="part&amp;join" sheetId="2" r:id="rId3"/>
    <sheet name="change" sheetId="3" r:id="rId4"/>
    <sheet name="resub" sheetId="6" r:id="rId5"/>
    <sheet name="getcolor&amp;etc" sheetId="7" r:id="rId6"/>
    <sheet name="__test" sheetId="5" r:id="rId7"/>
  </sheets>
  <functionGroups builtInGroupCount="17"/>
  <definedNames>
    <definedName name="_top" localSheetId="6">__test!#REF!</definedName>
    <definedName name="color">GET.CELL(24,__test!#REF!)</definedName>
  </definedNames>
  <calcPr calcId="145621"/>
</workbook>
</file>

<file path=xl/calcChain.xml><?xml version="1.0" encoding="utf-8"?>
<calcChain xmlns="http://schemas.openxmlformats.org/spreadsheetml/2006/main">
  <c r="C14" i="3" l="1"/>
  <c r="C15" i="7"/>
  <c r="C12" i="7"/>
  <c r="C5" i="6"/>
  <c r="C15" i="3"/>
  <c r="B11" i="2"/>
  <c r="B16" i="2"/>
  <c r="C14" i="7"/>
  <c r="B6" i="2"/>
  <c r="C16" i="3"/>
  <c r="B4" i="5"/>
  <c r="C13" i="7"/>
  <c r="C9" i="7"/>
  <c r="B7" i="1"/>
  <c r="C18" i="3"/>
  <c r="C13" i="3"/>
  <c r="B12" i="5"/>
  <c r="C17" i="3"/>
  <c r="B10" i="2"/>
  <c r="C16" i="7"/>
  <c r="C11" i="7"/>
  <c r="B12" i="2"/>
  <c r="B8" i="1"/>
  <c r="B9" i="2"/>
  <c r="C10" i="7"/>
  <c r="C11" i="3"/>
  <c r="C12" i="3"/>
  <c r="B8" i="2"/>
  <c r="B7" i="2"/>
  <c r="E19" i="5"/>
  <c r="E20" i="5"/>
  <c r="E21" i="5"/>
  <c r="E18" i="5"/>
  <c r="E17" i="5"/>
  <c r="B19" i="5"/>
  <c r="B18" i="5"/>
  <c r="B10" i="5"/>
</calcChain>
</file>

<file path=xl/sharedStrings.xml><?xml version="1.0" encoding="utf-8"?>
<sst xmlns="http://schemas.openxmlformats.org/spreadsheetml/2006/main" count="219" uniqueCount="188">
  <si>
    <t>公式</t>
    <phoneticPr fontId="1" type="noConversion"/>
  </si>
  <si>
    <t>输出</t>
    <phoneticPr fontId="1" type="noConversion"/>
  </si>
  <si>
    <t>说明</t>
    <phoneticPr fontId="1" type="noConversion"/>
  </si>
  <si>
    <t>可选参数</t>
    <phoneticPr fontId="1" type="noConversion"/>
  </si>
  <si>
    <t>使用方法</t>
    <phoneticPr fontId="1" type="noConversion"/>
  </si>
  <si>
    <t>默认值</t>
    <phoneticPr fontId="1" type="noConversion"/>
  </si>
  <si>
    <t>一次加载后可在任意excel文件中使用以上函数。</t>
    <phoneticPr fontId="1" type="noConversion"/>
  </si>
  <si>
    <t>用于激活时装{圣君堂大使}|将不可能变为可能的魔术，靠着圣君堂的护符，万事皆有可能|攻击 + 600|防御 + 300|生命 + 12000|PK减伤 + 0.2%|魅力值 + 200</t>
    <phoneticPr fontId="1" type="noConversion"/>
  </si>
  <si>
    <t>html-before</t>
    <phoneticPr fontId="1" type="noConversion"/>
  </si>
  <si>
    <t>html-accent_style</t>
    <phoneticPr fontId="1" type="noConversion"/>
  </si>
  <si>
    <t>html-normal_style</t>
    <phoneticPr fontId="1" type="noConversion"/>
  </si>
  <si>
    <t>&lt;img src='img://Uiicon_zhuangbeitip_dian.png'&gt;</t>
    <phoneticPr fontId="1" type="noConversion"/>
  </si>
  <si>
    <t>#ffcc33+12</t>
    <phoneticPr fontId="1" type="noConversion"/>
  </si>
  <si>
    <t>#e5d2ac</t>
    <phoneticPr fontId="1" type="noConversion"/>
  </si>
  <si>
    <t>强调内容字体形式，格式"颜色+字号"，可省略字号。</t>
    <phoneticPr fontId="1" type="noConversion"/>
  </si>
  <si>
    <t>每句前内容，通常表示加点。</t>
    <phoneticPr fontId="1" type="noConversion"/>
  </si>
  <si>
    <t>普通内容字体形式，格式"颜色+字号"，可省略字号。</t>
    <phoneticPr fontId="1" type="noConversion"/>
  </si>
  <si>
    <t>html(原文本,[before],[accent_style],[normal_style])</t>
    <phoneticPr fontId="1" type="noConversion"/>
  </si>
  <si>
    <t>html反函数，用于将html语句还原回可视化语句。可能不支持不太规范的html写法。</t>
    <phoneticPr fontId="1" type="noConversion"/>
  </si>
  <si>
    <t>指定格式原文本</t>
    <phoneticPr fontId="1" type="noConversion"/>
  </si>
  <si>
    <t>必须以"|"分隔行，用"{"和"}"扩起需要强调的内容。</t>
    <phoneticPr fontId="1" type="noConversion"/>
  </si>
  <si>
    <t>h2s-pre_acc</t>
    <phoneticPr fontId="1" type="noConversion"/>
  </si>
  <si>
    <t>h2s(html文本,[pre_acc],[endl]）</t>
    <phoneticPr fontId="1" type="noConversion"/>
  </si>
  <si>
    <t>h2s-endl</t>
    <phoneticPr fontId="1" type="noConversion"/>
  </si>
  <si>
    <t>&lt;font color='#ffcc33' size='12'&gt;</t>
  </si>
  <si>
    <t>&lt;br&gt;</t>
  </si>
  <si>
    <t>可指定强调前缀，必须为完整&lt;&gt;内容。强调结束符会自动补齐。</t>
  </si>
  <si>
    <t>可指定换行符，一般为&lt;br&gt;。</t>
    <phoneticPr fontId="1" type="noConversion"/>
  </si>
  <si>
    <t>本文件另存为xlam格式文件（加载宏）。</t>
    <phoneticPr fontId="1" type="noConversion"/>
  </si>
  <si>
    <t>在开发工具-加载项中浏览并加载文件。</t>
    <phoneticPr fontId="1" type="noConversion"/>
  </si>
  <si>
    <t>ps</t>
    <phoneticPr fontId="1" type="noConversion"/>
  </si>
  <si>
    <t>将指定格式原文本变为html文本。原文本可含公式，但本函数不可直接套用。</t>
    <phoneticPr fontId="1" type="noConversion"/>
  </si>
  <si>
    <t>1+60+1007+-8703+7440|61+999+1008+11066+-2364</t>
    <phoneticPr fontId="1" type="noConversion"/>
  </si>
  <si>
    <t>Icon_fashion_tulvlang_1.png+Icon_fashion_tulvlang_1.png+Icon_fashion_tulvlang_1.png+Icon_fashion_tulvlang_1.png+Icon_fashion_tulvlang_1.png</t>
    <phoneticPr fontId="1" type="noConversion"/>
  </si>
  <si>
    <t>源数据</t>
    <phoneticPr fontId="1" type="noConversion"/>
  </si>
  <si>
    <t>11+200|12+100|13+4000</t>
    <phoneticPr fontId="1" type="noConversion"/>
  </si>
  <si>
    <t>asdfa</t>
    <phoneticPr fontId="1" type="noConversion"/>
  </si>
  <si>
    <t>3008001+3002002+2017001</t>
    <phoneticPr fontId="1" type="noConversion"/>
  </si>
  <si>
    <t>a|不|从</t>
    <phoneticPr fontId="1" type="noConversion"/>
  </si>
  <si>
    <t>part-p1</t>
    <phoneticPr fontId="1" type="noConversion"/>
  </si>
  <si>
    <t>part-p2</t>
    <phoneticPr fontId="1" type="noConversion"/>
  </si>
  <si>
    <t>一维元组时，指向第p1个元素。</t>
    <phoneticPr fontId="1" type="noConversion"/>
  </si>
  <si>
    <t>二维元组时，指向第p1个元组的第p2个元素。</t>
    <phoneticPr fontId="1" type="noConversion"/>
  </si>
  <si>
    <t>公式</t>
    <phoneticPr fontId="1" type="noConversion"/>
  </si>
  <si>
    <t>part(A3,3)</t>
    <phoneticPr fontId="1" type="noConversion"/>
  </si>
  <si>
    <t>part(A4,2,4)</t>
    <phoneticPr fontId="1" type="noConversion"/>
  </si>
  <si>
    <t>part(A5,2)</t>
    <phoneticPr fontId="1" type="noConversion"/>
  </si>
  <si>
    <t>part(A6,2)</t>
    <phoneticPr fontId="1" type="noConversion"/>
  </si>
  <si>
    <t>part(A7)</t>
    <phoneticPr fontId="1" type="noConversion"/>
  </si>
  <si>
    <t>part(A2)</t>
    <phoneticPr fontId="1" type="noConversion"/>
  </si>
  <si>
    <t>源数据</t>
    <phoneticPr fontId="1" type="noConversion"/>
  </si>
  <si>
    <t>公式</t>
    <phoneticPr fontId="1" type="noConversion"/>
  </si>
  <si>
    <t>效果</t>
    <phoneticPr fontId="1" type="noConversion"/>
  </si>
  <si>
    <t>自定义函数</t>
    <phoneticPr fontId="1" type="noConversion"/>
  </si>
  <si>
    <t>功能</t>
    <phoneticPr fontId="1" type="noConversion"/>
  </si>
  <si>
    <t>html</t>
    <phoneticPr fontId="1" type="noConversion"/>
  </si>
  <si>
    <t>h2s</t>
    <phoneticPr fontId="1" type="noConversion"/>
  </si>
  <si>
    <t>将指定格式原文本转化为html格式文本。</t>
    <phoneticPr fontId="1" type="noConversion"/>
  </si>
  <si>
    <t>将html格式文本还原为指定格式文本</t>
    <phoneticPr fontId="1" type="noConversion"/>
  </si>
  <si>
    <t>说明</t>
    <phoneticPr fontId="1" type="noConversion"/>
  </si>
  <si>
    <t>part</t>
    <phoneticPr fontId="1" type="noConversion"/>
  </si>
  <si>
    <t>取出配置中某一部分的内容。</t>
    <phoneticPr fontId="1" type="noConversion"/>
  </si>
  <si>
    <t>自定义函数</t>
    <phoneticPr fontId="1" type="noConversion"/>
  </si>
  <si>
    <t>说明</t>
    <phoneticPr fontId="1" type="noConversion"/>
  </si>
  <si>
    <t>change</t>
    <phoneticPr fontId="1" type="noConversion"/>
  </si>
  <si>
    <t>批量改变配置中固定位置的内容。</t>
    <phoneticPr fontId="1" type="noConversion"/>
  </si>
  <si>
    <t>change(A5,1,"sub","123","120")</t>
    <phoneticPr fontId="1" type="noConversion"/>
  </si>
  <si>
    <t>change(A7,1,"-",1)</t>
    <phoneticPr fontId="1" type="noConversion"/>
  </si>
  <si>
    <t>需求描述</t>
    <phoneticPr fontId="1" type="noConversion"/>
  </si>
  <si>
    <t>第一位置减1</t>
    <phoneticPr fontId="1" type="noConversion"/>
  </si>
  <si>
    <t>第一位置的123替换为120</t>
    <phoneticPr fontId="1" type="noConversion"/>
  </si>
  <si>
    <t>第二位置加777</t>
    <phoneticPr fontId="1" type="noConversion"/>
  </si>
  <si>
    <t>change(A8,2,"*",3)</t>
    <phoneticPr fontId="1" type="noConversion"/>
  </si>
  <si>
    <t>第二位置乘3</t>
    <phoneticPr fontId="1" type="noConversion"/>
  </si>
  <si>
    <t>change(A9,2,"/",4)</t>
    <phoneticPr fontId="1" type="noConversion"/>
  </si>
  <si>
    <t>第二位置除4</t>
    <phoneticPr fontId="1" type="noConversion"/>
  </si>
  <si>
    <t>11+a200|12+1a0a0|13+a4000aaa</t>
    <phoneticPr fontId="1" type="noConversion"/>
  </si>
  <si>
    <t>change(A10,2,"sub","a")</t>
    <phoneticPr fontId="1" type="noConversion"/>
  </si>
  <si>
    <t>第二位置去掉a</t>
    <phoneticPr fontId="1" type="noConversion"/>
  </si>
  <si>
    <t>11+很好|12+特别好|13+非常好</t>
    <phoneticPr fontId="1" type="noConversion"/>
  </si>
  <si>
    <t>第二位置好替换为坏</t>
    <phoneticPr fontId="1" type="noConversion"/>
  </si>
  <si>
    <t>change(A11,2,"sub","好","坏")</t>
    <phoneticPr fontId="1" type="noConversion"/>
  </si>
  <si>
    <t>change(A6,2,"+","777")</t>
    <phoneticPr fontId="1" type="noConversion"/>
  </si>
  <si>
    <t>默认值</t>
    <phoneticPr fontId="1" type="noConversion"/>
  </si>
  <si>
    <t>参数</t>
    <phoneticPr fontId="1" type="noConversion"/>
  </si>
  <si>
    <t>change-pos</t>
    <phoneticPr fontId="1" type="noConversion"/>
  </si>
  <si>
    <t>change-method</t>
    <phoneticPr fontId="1" type="noConversion"/>
  </si>
  <si>
    <t>change-value1</t>
    <phoneticPr fontId="1" type="noConversion"/>
  </si>
  <si>
    <t>change-value2</t>
    <phoneticPr fontId="1" type="noConversion"/>
  </si>
  <si>
    <t>无默认，必须填写</t>
    <phoneticPr fontId="1" type="noConversion"/>
  </si>
  <si>
    <t>以加号分隔的第n个位置，从1开始</t>
    <phoneticPr fontId="1" type="noConversion"/>
  </si>
  <si>
    <t>""</t>
    <phoneticPr fontId="1" type="noConversion"/>
  </si>
  <si>
    <t>修改方法对应的第二个值，仅sub使用，表示替换后字符串</t>
    <phoneticPr fontId="1" type="noConversion"/>
  </si>
  <si>
    <t>join</t>
    <phoneticPr fontId="1" type="noConversion"/>
  </si>
  <si>
    <t>join-sign</t>
    <phoneticPr fontId="1" type="noConversion"/>
  </si>
  <si>
    <t>+</t>
    <phoneticPr fontId="1" type="noConversion"/>
  </si>
  <si>
    <t>效果</t>
    <phoneticPr fontId="1" type="noConversion"/>
  </si>
  <si>
    <t>join(A12:A15)</t>
    <phoneticPr fontId="1" type="noConversion"/>
  </si>
  <si>
    <t>连接符</t>
    <phoneticPr fontId="1" type="noConversion"/>
  </si>
  <si>
    <t>11+阿斯顿发|12+打的|13+32352</t>
    <phoneticPr fontId="1" type="noConversion"/>
  </si>
  <si>
    <t>change(A11,2,"fix",0)</t>
    <phoneticPr fontId="1" type="noConversion"/>
  </si>
  <si>
    <t>第二位置全部变为0</t>
    <phoneticPr fontId="1" type="noConversion"/>
  </si>
  <si>
    <t>sub</t>
    <phoneticPr fontId="1" type="noConversion"/>
  </si>
  <si>
    <t>表示修改方法，目前支持+-*/以及sub（替换涵盖替换、增、删）、fix（强制改变值）</t>
    <phoneticPr fontId="1" type="noConversion"/>
  </si>
  <si>
    <t>修改方法对应的第一个值，+-*/即对应值，sub表示替换前字符串，fix表示强制修改的值</t>
    <phoneticPr fontId="1" type="noConversion"/>
  </si>
  <si>
    <t>把区域内值用符号（+）连接起来。目前仅支持row变为n+n型。</t>
    <phoneticPr fontId="1" type="noConversion"/>
  </si>
  <si>
    <t>join(A12:A15,"|")</t>
    <phoneticPr fontId="1" type="noConversion"/>
  </si>
  <si>
    <t>&lt;img src='img://Uiicon_zhuangbeitip_dian.png'&gt;&lt;font color='#e5d2ac'&gt;用于激活时装&lt;font color='#ffcc33' size='12'&gt;圣君堂大使&lt;/font&gt;&lt;/font&gt;&lt;br&gt;&lt;img src='img://Uiicon_zhuangbeitip_dian.png'&gt;&lt;font color='#e5d2ac'&gt;将不可能变为可能的魔术，靠着圣君堂的护符，万事皆有可能&lt;/font&gt;&lt;br&gt;&lt;img src='img://Uiicon_zhuangbeitip_dian.png'&gt;&lt;font color='#e5d2ac'&gt;攻击 + 600&lt;/font&gt;&lt;br&gt;&lt;img src='img://Uiicon_zhuangbeitip_dian.png'&gt;&lt;font color='#e5d2ac'&gt;防御 + 300&lt;/font&gt;&lt;br&gt;&lt;img src='img://Uiicon_zhuangbeitip_dian.png'&gt;&lt;font color='#e5d2ac'&gt;生命 + 12000&lt;/font&gt;&lt;br&gt;&lt;img src='img://Uiicon_zhuangbeitip_dian.png'&gt;&lt;font color='#e5d2ac'&gt;PK减伤 + 0.2%&lt;/font&gt;&lt;br&gt;&lt;img src='img://Uiicon_zhuangbeitip_dian.png'&gt;&lt;font color='#e5d2ac'&gt;魅力值 + 200&lt;/font&gt;&lt;br&gt;</t>
  </si>
  <si>
    <t>&lt;img src='img://Uiicon_zhuangbeitip_dian.png'&gt;&lt;font color='#e5d2ac'&gt;用于激活时装&lt;font color='#ffcc33' size='12'&gt;圣君堂大使&lt;/font&gt;&lt;/font&gt;&lt;br&gt;&lt;img src='img://Uiicon_zhuangbeitip_dian.png'&gt;&lt;font color='#e5d2ac'&gt;将不可能变为可能的魔术，靠着圣君堂的护符，万事皆有可能&lt;/font&gt;&lt;br&gt;&lt;img src='img://Uiicon_zhuangbeitip_dian.png'&gt;&lt;font color='#e5d2ac'&gt;攻击 + 600&lt;/font&gt;&lt;br&gt;&lt;img src='img://Uiicon_zhuangbeitip_dian.png'&gt;&lt;font color='#e5d2ac'&gt;防御 + 300&lt;/font&gt;&lt;br&gt;&lt;img src='img://Uiicon_zhuangbeitip_dian.png'&gt;&lt;font color='#e5d2ac'&gt;生命 + 12000&lt;/font&gt;&lt;br&gt;&lt;img src='img://Uiicon_zhuangbeitip_dian.png'&gt;&lt;font color='#e5d2ac'&gt;PK减伤 + 0.2%&lt;/font&gt;&lt;br&gt;&lt;img src='img://Uiicon_zhuangbeitip_dian.png'&gt;&lt;font color='#e5d2ac'&gt;魅力值 + 200&lt;/font&gt;&lt;br&gt;</t>
    <phoneticPr fontId="1" type="noConversion"/>
  </si>
  <si>
    <t>&lt;.+?&gt;</t>
    <phoneticPr fontId="1" type="noConversion"/>
  </si>
  <si>
    <t>resub</t>
    <phoneticPr fontId="1" type="noConversion"/>
  </si>
  <si>
    <t>按正则匹配替换文本</t>
    <phoneticPr fontId="1" type="noConversion"/>
  </si>
  <si>
    <t>说明</t>
    <phoneticPr fontId="1" type="noConversion"/>
  </si>
  <si>
    <t>resub(A5)</t>
    <phoneticPr fontId="1" type="noConversion"/>
  </si>
  <si>
    <t>去掉所有"&lt;&gt;"及其内部内容</t>
    <phoneticPr fontId="1" type="noConversion"/>
  </si>
  <si>
    <t>resub-s</t>
    <phoneticPr fontId="1" type="noConversion"/>
  </si>
  <si>
    <t>resub-pat</t>
    <phoneticPr fontId="1" type="noConversion"/>
  </si>
  <si>
    <t>resub-glo</t>
    <phoneticPr fontId="1" type="noConversion"/>
  </si>
  <si>
    <t>resub-ign</t>
    <phoneticPr fontId="1" type="noConversion"/>
  </si>
  <si>
    <t>需处理的字符串</t>
    <phoneticPr fontId="1" type="noConversion"/>
  </si>
  <si>
    <t>正则匹配模式（默认效果为去掉所有"&lt;&gt;"及其内部内容）</t>
    <phoneticPr fontId="1" type="noConversion"/>
  </si>
  <si>
    <t>True表示匹配所有, False表示仅匹配第一个符合项</t>
    <phoneticPr fontId="1" type="noConversion"/>
  </si>
  <si>
    <t>True表示不区分大小写, False表示区分大小写</t>
    <phoneticPr fontId="1" type="noConversion"/>
  </si>
  <si>
    <t>resub-rep</t>
    <phoneticPr fontId="1" type="noConversion"/>
  </si>
  <si>
    <t>""</t>
    <phoneticPr fontId="1" type="noConversion"/>
  </si>
  <si>
    <t>"&lt;.+?&gt;"</t>
    <phoneticPr fontId="1" type="noConversion"/>
  </si>
  <si>
    <t>正则匹配替换内容</t>
    <phoneticPr fontId="1" type="noConversion"/>
  </si>
  <si>
    <t>cplus</t>
    <phoneticPr fontId="1" type="noConversion"/>
  </si>
  <si>
    <t>cminus</t>
    <phoneticPr fontId="1" type="noConversion"/>
  </si>
  <si>
    <t>cmul</t>
    <phoneticPr fontId="1" type="noConversion"/>
  </si>
  <si>
    <t>cdiv</t>
    <phoneticPr fontId="1" type="noConversion"/>
  </si>
  <si>
    <t>csub</t>
    <phoneticPr fontId="1" type="noConversion"/>
  </si>
  <si>
    <t>cfix</t>
    <phoneticPr fontId="1" type="noConversion"/>
  </si>
  <si>
    <t>change拆分函数，省略method字段</t>
    <phoneticPr fontId="1" type="noConversion"/>
  </si>
  <si>
    <t>getcolor</t>
    <phoneticPr fontId="1" type="noConversion"/>
  </si>
  <si>
    <t>ctext</t>
    <phoneticPr fontId="1" type="noConversion"/>
  </si>
  <si>
    <t>btext</t>
    <phoneticPr fontId="1" type="noConversion"/>
  </si>
  <si>
    <t>itext</t>
    <phoneticPr fontId="1" type="noConversion"/>
  </si>
  <si>
    <t>utext</t>
    <phoneticPr fontId="1" type="noConversion"/>
  </si>
  <si>
    <t>取得字符串某字符或背景的色值</t>
    <phoneticPr fontId="1" type="noConversion"/>
  </si>
  <si>
    <t>取出字符串中指定颜色的所有文字</t>
    <phoneticPr fontId="1" type="noConversion"/>
  </si>
  <si>
    <t>取出字符串中加粗的所有文字</t>
    <phoneticPr fontId="1" type="noConversion"/>
  </si>
  <si>
    <t>取出字符串中斜体的所有文字</t>
    <phoneticPr fontId="1" type="noConversion"/>
  </si>
  <si>
    <t>取出字符串中下划线的所有文字</t>
    <phoneticPr fontId="1" type="noConversion"/>
  </si>
  <si>
    <r>
      <t>用于</t>
    </r>
    <r>
      <rPr>
        <sz val="11"/>
        <color rgb="FFFF0000"/>
        <rFont val="宋体"/>
        <family val="3"/>
        <charset val="134"/>
        <scheme val="minor"/>
      </rPr>
      <t>激活</t>
    </r>
    <r>
      <rPr>
        <sz val="11"/>
        <color theme="1"/>
        <rFont val="宋体"/>
        <family val="2"/>
        <charset val="134"/>
        <scheme val="minor"/>
      </rPr>
      <t>时装圣君堂大使</t>
    </r>
    <phoneticPr fontId="1" type="noConversion"/>
  </si>
  <si>
    <t>getcolor(A9,3)</t>
    <phoneticPr fontId="1" type="noConversion"/>
  </si>
  <si>
    <r>
      <t>用于</t>
    </r>
    <r>
      <rPr>
        <sz val="11"/>
        <rFont val="宋体"/>
        <family val="3"/>
        <charset val="134"/>
        <scheme val="minor"/>
      </rPr>
      <t>激活</t>
    </r>
    <r>
      <rPr>
        <sz val="11"/>
        <color theme="1"/>
        <rFont val="宋体"/>
        <family val="2"/>
        <charset val="134"/>
        <scheme val="minor"/>
      </rPr>
      <t>时装圣君堂大使</t>
    </r>
    <phoneticPr fontId="1" type="noConversion"/>
  </si>
  <si>
    <t>getcolor(A10,,0)</t>
    <phoneticPr fontId="1" type="noConversion"/>
  </si>
  <si>
    <t>ctext(A11)</t>
    <phoneticPr fontId="1" type="noConversion"/>
  </si>
  <si>
    <r>
      <rPr>
        <sz val="11"/>
        <color theme="8" tint="-0.249977111117893"/>
        <rFont val="宋体"/>
        <family val="3"/>
        <charset val="134"/>
        <scheme val="minor"/>
      </rPr>
      <t>用于</t>
    </r>
    <r>
      <rPr>
        <sz val="11"/>
        <color rgb="FFFF0000"/>
        <rFont val="宋体"/>
        <family val="3"/>
        <charset val="134"/>
        <scheme val="minor"/>
      </rPr>
      <t>激活</t>
    </r>
    <r>
      <rPr>
        <sz val="11"/>
        <color theme="8" tint="-0.249977111117893"/>
        <rFont val="宋体"/>
        <family val="3"/>
        <charset val="134"/>
        <scheme val="minor"/>
      </rPr>
      <t>时装</t>
    </r>
    <r>
      <rPr>
        <sz val="11"/>
        <color rgb="FFFF0000"/>
        <rFont val="宋体"/>
        <family val="3"/>
        <charset val="134"/>
        <scheme val="minor"/>
      </rPr>
      <t>圣君堂</t>
    </r>
    <r>
      <rPr>
        <sz val="11"/>
        <color theme="8" tint="-0.249977111117893"/>
        <rFont val="宋体"/>
        <family val="3"/>
        <charset val="134"/>
        <scheme val="minor"/>
      </rPr>
      <t>大使</t>
    </r>
    <phoneticPr fontId="1" type="noConversion"/>
  </si>
  <si>
    <t>ctext(A12,getcolor(A12))</t>
    <phoneticPr fontId="1" type="noConversion"/>
  </si>
  <si>
    <r>
      <t>用于</t>
    </r>
    <r>
      <rPr>
        <sz val="11"/>
        <color rgb="FFFF0000"/>
        <rFont val="宋体"/>
        <family val="3"/>
        <charset val="134"/>
        <scheme val="minor"/>
      </rPr>
      <t>激活</t>
    </r>
    <r>
      <rPr>
        <sz val="11"/>
        <color theme="1"/>
        <rFont val="宋体"/>
        <family val="2"/>
        <charset val="134"/>
        <scheme val="minor"/>
      </rPr>
      <t>时装</t>
    </r>
    <r>
      <rPr>
        <sz val="11"/>
        <color rgb="FFFF0000"/>
        <rFont val="宋体"/>
        <family val="3"/>
        <charset val="134"/>
        <scheme val="minor"/>
      </rPr>
      <t>圣君堂</t>
    </r>
    <r>
      <rPr>
        <sz val="11"/>
        <color theme="1"/>
        <rFont val="宋体"/>
        <family val="2"/>
        <charset val="134"/>
        <scheme val="minor"/>
      </rPr>
      <t>大使</t>
    </r>
    <phoneticPr fontId="1" type="noConversion"/>
  </si>
  <si>
    <t>btext(A13)</t>
    <phoneticPr fontId="1" type="noConversion"/>
  </si>
  <si>
    <r>
      <t>用于激活时装</t>
    </r>
    <r>
      <rPr>
        <b/>
        <sz val="11"/>
        <color theme="1"/>
        <rFont val="宋体"/>
        <family val="3"/>
        <charset val="134"/>
        <scheme val="minor"/>
      </rPr>
      <t>圣君堂大使</t>
    </r>
    <phoneticPr fontId="1" type="noConversion"/>
  </si>
  <si>
    <r>
      <t>用于激活</t>
    </r>
    <r>
      <rPr>
        <i/>
        <sz val="11"/>
        <color theme="1"/>
        <rFont val="宋体"/>
        <family val="3"/>
        <charset val="134"/>
        <scheme val="minor"/>
      </rPr>
      <t>时装</t>
    </r>
    <r>
      <rPr>
        <sz val="11"/>
        <color theme="1"/>
        <rFont val="宋体"/>
        <family val="2"/>
        <charset val="134"/>
        <scheme val="minor"/>
      </rPr>
      <t>圣君堂大使</t>
    </r>
    <phoneticPr fontId="1" type="noConversion"/>
  </si>
  <si>
    <t>itext(A14)</t>
    <phoneticPr fontId="1" type="noConversion"/>
  </si>
  <si>
    <r>
      <t>用于激活时装</t>
    </r>
    <r>
      <rPr>
        <u/>
        <sz val="11"/>
        <color theme="1"/>
        <rFont val="宋体"/>
        <family val="3"/>
        <charset val="134"/>
        <scheme val="minor"/>
      </rPr>
      <t>圣君堂</t>
    </r>
    <r>
      <rPr>
        <sz val="11"/>
        <color theme="1"/>
        <rFont val="宋体"/>
        <family val="2"/>
        <charset val="134"/>
        <scheme val="minor"/>
      </rPr>
      <t>大使</t>
    </r>
    <phoneticPr fontId="1" type="noConversion"/>
  </si>
  <si>
    <r>
      <t>用于激活</t>
    </r>
    <r>
      <rPr>
        <u val="double"/>
        <sz val="11"/>
        <color theme="1"/>
        <rFont val="宋体"/>
        <family val="3"/>
        <charset val="134"/>
        <scheme val="minor"/>
      </rPr>
      <t>时装</t>
    </r>
    <r>
      <rPr>
        <sz val="11"/>
        <color theme="1"/>
        <rFont val="宋体"/>
        <family val="2"/>
        <charset val="134"/>
        <scheme val="minor"/>
      </rPr>
      <t>圣君堂大使</t>
    </r>
    <phoneticPr fontId="1" type="noConversion"/>
  </si>
  <si>
    <t>utext(A15)</t>
    <phoneticPr fontId="1" type="noConversion"/>
  </si>
  <si>
    <t>utext(A16,0)</t>
    <phoneticPr fontId="1" type="noConversion"/>
  </si>
  <si>
    <t>getcolor-rng</t>
    <phoneticPr fontId="1" type="noConversion"/>
  </si>
  <si>
    <t>getcolor-letter</t>
    <phoneticPr fontId="1" type="noConversion"/>
  </si>
  <si>
    <t>提取的单字所在字符串第几个（取背景色时留空）</t>
    <phoneticPr fontId="1" type="noConversion"/>
  </si>
  <si>
    <t>getcolor-isFontColor</t>
    <phoneticPr fontId="1" type="noConversion"/>
  </si>
  <si>
    <t>True为判断字色，False为判断背景色</t>
    <phoneticPr fontId="1" type="noConversion"/>
  </si>
  <si>
    <t>字符串所在单元格（不可为多单元格区域）[下同，略]</t>
    <phoneticPr fontId="1" type="noConversion"/>
  </si>
  <si>
    <t>ctext-col</t>
    <phoneticPr fontId="1" type="noConversion"/>
  </si>
  <si>
    <t>提取颜色的色值（可用getcolor获得）</t>
    <phoneticPr fontId="1" type="noConversion"/>
  </si>
  <si>
    <t>utext-isSingle</t>
    <phoneticPr fontId="1" type="noConversion"/>
  </si>
  <si>
    <t>True单下划线，False双下划线</t>
    <phoneticPr fontId="1" type="noConversion"/>
  </si>
  <si>
    <t>需求描述</t>
    <phoneticPr fontId="1" type="noConversion"/>
  </si>
  <si>
    <t>获得红色色值</t>
    <phoneticPr fontId="1" type="noConversion"/>
  </si>
  <si>
    <t>获得背景色值</t>
    <phoneticPr fontId="1" type="noConversion"/>
  </si>
  <si>
    <t>提取所有红色文本</t>
    <phoneticPr fontId="1" type="noConversion"/>
  </si>
  <si>
    <t>提取第一个字那种颜色的所有文本</t>
    <phoneticPr fontId="1" type="noConversion"/>
  </si>
  <si>
    <t>提取加粗文本</t>
    <phoneticPr fontId="1" type="noConversion"/>
  </si>
  <si>
    <t>提取斜体文本</t>
    <phoneticPr fontId="1" type="noConversion"/>
  </si>
  <si>
    <t>提取单下划线文本</t>
    <phoneticPr fontId="1" type="noConversion"/>
  </si>
  <si>
    <t>提取双下划线文本</t>
    <phoneticPr fontId="1" type="noConversion"/>
  </si>
  <si>
    <t>wefoweo*weoifjoiwef*sdflsdfjois(wepfwpeo)wefwef</t>
    <phoneticPr fontId="1" type="noConversion"/>
  </si>
  <si>
    <t>\*([^\*]+)\*</t>
    <phoneticPr fontId="1" type="noConversion"/>
  </si>
  <si>
    <t>&lt;em&gt;$1&lt;/em&gt;</t>
    <phoneticPr fontId="1" type="noConversion"/>
  </si>
  <si>
    <t>python中组号转义变$为\：&lt;em&gt;\1&lt;/em&gt;</t>
    <phoneticPr fontId="1" type="noConversion"/>
  </si>
  <si>
    <t>&lt;font.+?&gt;([^&gt;]+)&lt;/font&gt;</t>
    <phoneticPr fontId="1" type="noConversion"/>
  </si>
  <si>
    <t>f{$1}</t>
    <phoneticPr fontId="1" type="noConversion"/>
  </si>
  <si>
    <t>$1</t>
    <phoneticPr fontId="1" type="noConversion"/>
  </si>
  <si>
    <t>[^\\]+$</t>
    <phoneticPr fontId="1" type="noConversion"/>
  </si>
  <si>
    <t>C:\Users\Administrator\Desktop\塔图.rar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</si>
</sst>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24" formatCode="\$#,##0_);[Red]\(\$#,##0\)"/>
  </numFmts>
  <fonts count="1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B050"/>
      <name val="宋体"/>
      <family val="2"/>
      <charset val="134"/>
      <scheme val="minor"/>
    </font>
    <font>
      <sz val="11"/>
      <color rgb="FF0070C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u/>
      <sz val="11"/>
      <color theme="1"/>
      <name val="宋体"/>
      <family val="3"/>
      <charset val="134"/>
      <scheme val="minor"/>
    </font>
    <font>
      <u val="double"/>
      <sz val="11"/>
      <color theme="1"/>
      <name val="宋体"/>
      <family val="3"/>
      <charset val="134"/>
      <scheme val="minor"/>
    </font>
    <font>
      <u/>
      <sz val="11"/>
      <color theme="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8" tint="-0.249977111117893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0" xfId="0" applyFill="1">
      <alignment vertical="center"/>
    </xf>
    <xf numFmtId="0" fontId="7" fillId="0" borderId="0" xfId="0" applyFont="1">
      <alignment vertical="center"/>
    </xf>
    <xf numFmtId="0" fontId="10" fillId="0" borderId="0" xfId="0" applyFon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24" fontId="0" fillId="0" borderId="0" xfId="0" quotePrefix="1" applyNumberForma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4"/>
  <sheetViews>
    <sheetView workbookViewId="0">
      <selection activeCell="B3" sqref="B3"/>
    </sheetView>
  </sheetViews>
  <sheetFormatPr defaultRowHeight="13.5"/>
  <sheetData>
    <row r="1" spans="1:2">
      <c r="A1" s="2" t="s">
        <v>4</v>
      </c>
    </row>
    <row r="2" spans="1:2">
      <c r="A2">
        <v>1</v>
      </c>
      <c r="B2" t="s">
        <v>28</v>
      </c>
    </row>
    <row r="3" spans="1:2">
      <c r="A3">
        <v>2</v>
      </c>
      <c r="B3" t="s">
        <v>29</v>
      </c>
    </row>
    <row r="4" spans="1:2">
      <c r="A4" s="3" t="s">
        <v>30</v>
      </c>
      <c r="B4" t="s">
        <v>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1"/>
  <sheetViews>
    <sheetView workbookViewId="0">
      <selection activeCell="B7" sqref="B7"/>
    </sheetView>
  </sheetViews>
  <sheetFormatPr defaultRowHeight="13.5"/>
  <cols>
    <col min="1" max="1" width="19.375" bestFit="1" customWidth="1"/>
    <col min="2" max="2" width="83.25" customWidth="1"/>
    <col min="3" max="3" width="53.375" customWidth="1"/>
    <col min="5" max="5" width="78.5" customWidth="1"/>
  </cols>
  <sheetData>
    <row r="1" spans="1:5" s="2" customFormat="1">
      <c r="A1" s="2" t="s">
        <v>53</v>
      </c>
      <c r="B1" s="2" t="s">
        <v>54</v>
      </c>
    </row>
    <row r="2" spans="1:5">
      <c r="A2" t="s">
        <v>55</v>
      </c>
      <c r="B2" t="s">
        <v>57</v>
      </c>
    </row>
    <row r="3" spans="1:5">
      <c r="A3" t="s">
        <v>56</v>
      </c>
      <c r="B3" t="s">
        <v>58</v>
      </c>
    </row>
    <row r="5" spans="1:5" s="2" customFormat="1">
      <c r="A5" s="2" t="s">
        <v>0</v>
      </c>
      <c r="B5" s="2" t="s">
        <v>1</v>
      </c>
      <c r="C5" s="2" t="s">
        <v>2</v>
      </c>
    </row>
    <row r="6" spans="1:5" ht="27">
      <c r="A6" t="s">
        <v>19</v>
      </c>
      <c r="B6" s="4" t="s">
        <v>7</v>
      </c>
      <c r="C6" s="1" t="s">
        <v>20</v>
      </c>
      <c r="E6" s="1"/>
    </row>
    <row r="7" spans="1:5" ht="148.5">
      <c r="A7" s="1" t="s">
        <v>17</v>
      </c>
      <c r="B7" s="5" t="str">
        <f>html(B6)</f>
        <v>&lt;img src='img://Uiicon_zhuangbeitip_dian.png'&gt;&lt;font color='#e5d2ac'&gt;用于激活时装&lt;font color='#ffcc33' size='12'&gt;圣君堂大使&lt;/font&gt;&lt;/font&gt;&lt;br&gt;&lt;img src='img://Uiicon_zhuangbeitip_dian.png'&gt;&lt;font color='#e5d2ac'&gt;将不可能变为可能的魔术，靠着圣君堂的护符，万事皆有可能&lt;/font&gt;&lt;br&gt;&lt;img src='img://Uiicon_zhuangbeitip_dian.png'&gt;&lt;font color='#e5d2ac'&gt;攻击 + 600&lt;/font&gt;&lt;br&gt;&lt;img src='img://Uiicon_zhuangbeitip_dian.png'&gt;&lt;font color='#e5d2ac'&gt;防御 + 300&lt;/font&gt;&lt;br&gt;&lt;img src='img://Uiicon_zhuangbeitip_dian.png'&gt;&lt;font color='#e5d2ac'&gt;生命 + 12000&lt;/font&gt;&lt;br&gt;&lt;img src='img://Uiicon_zhuangbeitip_dian.png'&gt;&lt;font color='#e5d2ac'&gt;PK减伤 + 0.2%&lt;/font&gt;&lt;br&gt;&lt;img src='img://Uiicon_zhuangbeitip_dian.png'&gt;&lt;font color='#e5d2ac'&gt;魅力值 + 200&lt;/font&gt;&lt;br&gt;</v>
      </c>
      <c r="C7" s="1" t="s">
        <v>31</v>
      </c>
    </row>
    <row r="8" spans="1:5" ht="40.5">
      <c r="A8" s="1" t="s">
        <v>22</v>
      </c>
      <c r="B8" s="1" t="str">
        <f>h2s(B7)</f>
        <v>用于激活时装{圣君堂大使}|将不可能变为可能的魔术，靠着圣君堂的护符，万事皆有可能|攻击 + 600|防御 + 300|生命 + 12000|PK减伤 + 0.2%|魅力值 + 200</v>
      </c>
      <c r="C8" s="1" t="s">
        <v>18</v>
      </c>
    </row>
    <row r="10" spans="1:5">
      <c r="A10" s="2" t="s">
        <v>3</v>
      </c>
      <c r="B10" s="2" t="s">
        <v>5</v>
      </c>
      <c r="C10" s="2" t="s">
        <v>2</v>
      </c>
    </row>
    <row r="11" spans="1:5">
      <c r="A11" t="s">
        <v>8</v>
      </c>
      <c r="B11" t="s">
        <v>11</v>
      </c>
      <c r="C11" t="s">
        <v>15</v>
      </c>
    </row>
    <row r="12" spans="1:5">
      <c r="A12" t="s">
        <v>9</v>
      </c>
      <c r="B12" t="s">
        <v>12</v>
      </c>
      <c r="C12" t="s">
        <v>14</v>
      </c>
    </row>
    <row r="13" spans="1:5">
      <c r="A13" t="s">
        <v>10</v>
      </c>
      <c r="B13" t="s">
        <v>13</v>
      </c>
      <c r="C13" t="s">
        <v>16</v>
      </c>
    </row>
    <row r="14" spans="1:5">
      <c r="A14" t="s">
        <v>21</v>
      </c>
      <c r="B14" t="s">
        <v>24</v>
      </c>
      <c r="C14" t="s">
        <v>26</v>
      </c>
    </row>
    <row r="15" spans="1:5">
      <c r="A15" t="s">
        <v>23</v>
      </c>
      <c r="B15" t="s">
        <v>25</v>
      </c>
      <c r="C15" t="s">
        <v>27</v>
      </c>
    </row>
    <row r="21" spans="1:1">
      <c r="A21" s="3"/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1"/>
  <sheetViews>
    <sheetView workbookViewId="0">
      <selection activeCell="A9" sqref="A9"/>
    </sheetView>
  </sheetViews>
  <sheetFormatPr defaultRowHeight="13.5"/>
  <cols>
    <col min="1" max="1" width="49.375" bestFit="1" customWidth="1"/>
    <col min="2" max="2" width="30.5" bestFit="1" customWidth="1"/>
    <col min="3" max="3" width="42.5" bestFit="1" customWidth="1"/>
  </cols>
  <sheetData>
    <row r="1" spans="1:3" s="2" customFormat="1">
      <c r="A1" s="2" t="s">
        <v>53</v>
      </c>
      <c r="B1" s="2" t="s">
        <v>59</v>
      </c>
    </row>
    <row r="2" spans="1:3">
      <c r="A2" t="s">
        <v>60</v>
      </c>
      <c r="B2" t="s">
        <v>61</v>
      </c>
    </row>
    <row r="3" spans="1:3">
      <c r="A3" t="s">
        <v>93</v>
      </c>
      <c r="B3" t="s">
        <v>105</v>
      </c>
    </row>
    <row r="5" spans="1:3">
      <c r="A5" s="2" t="s">
        <v>34</v>
      </c>
      <c r="B5" s="2" t="s">
        <v>96</v>
      </c>
      <c r="C5" s="2" t="s">
        <v>43</v>
      </c>
    </row>
    <row r="6" spans="1:3">
      <c r="A6" t="s">
        <v>36</v>
      </c>
      <c r="B6" t="str">
        <f>part(A6)</f>
        <v>asdfa</v>
      </c>
      <c r="C6" t="s">
        <v>49</v>
      </c>
    </row>
    <row r="7" spans="1:3">
      <c r="A7" t="s">
        <v>37</v>
      </c>
      <c r="B7" t="str">
        <f>part(A7,3)</f>
        <v>2017001</v>
      </c>
      <c r="C7" t="s">
        <v>44</v>
      </c>
    </row>
    <row r="8" spans="1:3">
      <c r="A8" t="s">
        <v>32</v>
      </c>
      <c r="B8" t="str">
        <f>part(A8,2,4)</f>
        <v>11066</v>
      </c>
      <c r="C8" t="s">
        <v>45</v>
      </c>
    </row>
    <row r="9" spans="1:3">
      <c r="A9" t="s">
        <v>35</v>
      </c>
      <c r="B9" t="str">
        <f>part(A9,2)</f>
        <v>12</v>
      </c>
      <c r="C9" t="s">
        <v>46</v>
      </c>
    </row>
    <row r="10" spans="1:3">
      <c r="A10" t="s">
        <v>38</v>
      </c>
      <c r="B10" t="str">
        <f>part(A10,2)</f>
        <v>不</v>
      </c>
      <c r="C10" t="s">
        <v>47</v>
      </c>
    </row>
    <row r="11" spans="1:3" ht="40.5">
      <c r="A11" s="1" t="s">
        <v>33</v>
      </c>
      <c r="B11" t="str">
        <f>part(A11)</f>
        <v>Icon_fashion_tulvlang_1.png</v>
      </c>
      <c r="C11" t="s">
        <v>48</v>
      </c>
    </row>
    <row r="12" spans="1:3">
      <c r="A12" s="1">
        <v>1</v>
      </c>
      <c r="B12" t="str">
        <f>join(A12:A15)</f>
        <v>1+2+3+4</v>
      </c>
      <c r="C12" t="s">
        <v>97</v>
      </c>
    </row>
    <row r="13" spans="1:3">
      <c r="A13" s="1">
        <v>2</v>
      </c>
    </row>
    <row r="14" spans="1:3">
      <c r="A14" s="1">
        <v>3</v>
      </c>
    </row>
    <row r="15" spans="1:3">
      <c r="A15" s="1">
        <v>4</v>
      </c>
    </row>
    <row r="16" spans="1:3">
      <c r="A16" s="1"/>
      <c r="B16" t="str">
        <f>join(A12:A15,"|")</f>
        <v>1|2|3|4</v>
      </c>
      <c r="C16" t="s">
        <v>106</v>
      </c>
    </row>
    <row r="18" spans="1:3">
      <c r="A18" s="2" t="s">
        <v>3</v>
      </c>
      <c r="B18" s="2" t="s">
        <v>5</v>
      </c>
      <c r="C18" s="2" t="s">
        <v>2</v>
      </c>
    </row>
    <row r="19" spans="1:3">
      <c r="A19" t="s">
        <v>39</v>
      </c>
      <c r="B19">
        <v>1</v>
      </c>
      <c r="C19" t="s">
        <v>41</v>
      </c>
    </row>
    <row r="20" spans="1:3">
      <c r="A20" t="s">
        <v>40</v>
      </c>
      <c r="B20">
        <v>1</v>
      </c>
      <c r="C20" t="s">
        <v>42</v>
      </c>
    </row>
    <row r="21" spans="1:3">
      <c r="A21" t="s">
        <v>94</v>
      </c>
      <c r="B21" t="s">
        <v>95</v>
      </c>
      <c r="C21" t="s">
        <v>98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4"/>
  <sheetViews>
    <sheetView workbookViewId="0">
      <selection activeCell="B14" sqref="B14"/>
    </sheetView>
  </sheetViews>
  <sheetFormatPr defaultRowHeight="13.5"/>
  <cols>
    <col min="1" max="1" width="31.625" bestFit="1" customWidth="1"/>
    <col min="2" max="2" width="31.75" bestFit="1" customWidth="1"/>
    <col min="3" max="3" width="29.375" bestFit="1" customWidth="1"/>
    <col min="4" max="4" width="23.875" bestFit="1" customWidth="1"/>
  </cols>
  <sheetData>
    <row r="1" spans="1:4" s="2" customFormat="1">
      <c r="A1" s="2" t="s">
        <v>62</v>
      </c>
      <c r="B1" s="2" t="s">
        <v>63</v>
      </c>
    </row>
    <row r="2" spans="1:4">
      <c r="A2" t="s">
        <v>64</v>
      </c>
      <c r="B2" t="s">
        <v>65</v>
      </c>
    </row>
    <row r="3" spans="1:4">
      <c r="A3" t="s">
        <v>127</v>
      </c>
      <c r="B3" t="s">
        <v>133</v>
      </c>
    </row>
    <row r="4" spans="1:4">
      <c r="A4" t="s">
        <v>128</v>
      </c>
      <c r="B4" t="s">
        <v>133</v>
      </c>
    </row>
    <row r="5" spans="1:4">
      <c r="A5" t="s">
        <v>129</v>
      </c>
      <c r="B5" t="s">
        <v>133</v>
      </c>
    </row>
    <row r="6" spans="1:4">
      <c r="A6" t="s">
        <v>130</v>
      </c>
      <c r="B6" t="s">
        <v>133</v>
      </c>
    </row>
    <row r="7" spans="1:4">
      <c r="A7" t="s">
        <v>131</v>
      </c>
      <c r="B7" t="s">
        <v>133</v>
      </c>
    </row>
    <row r="8" spans="1:4">
      <c r="A8" t="s">
        <v>132</v>
      </c>
      <c r="B8" t="s">
        <v>133</v>
      </c>
    </row>
    <row r="10" spans="1:4" s="2" customFormat="1">
      <c r="A10" s="2" t="s">
        <v>50</v>
      </c>
      <c r="B10" s="2" t="s">
        <v>51</v>
      </c>
      <c r="C10" s="2" t="s">
        <v>52</v>
      </c>
      <c r="D10" s="2" t="s">
        <v>68</v>
      </c>
    </row>
    <row r="11" spans="1:4">
      <c r="A11" s="6">
        <v>1230120</v>
      </c>
      <c r="B11" t="s">
        <v>66</v>
      </c>
      <c r="C11" t="str">
        <f>change(A11,1,"sub","123","120")</f>
        <v>1200120</v>
      </c>
      <c r="D11" t="s">
        <v>70</v>
      </c>
    </row>
    <row r="12" spans="1:4">
      <c r="A12" t="s">
        <v>37</v>
      </c>
      <c r="B12" s="7" t="s">
        <v>82</v>
      </c>
      <c r="C12" t="str">
        <f>change(A12,2,"+",777)</f>
        <v>3008001+3002779+2017001</v>
      </c>
      <c r="D12" t="s">
        <v>71</v>
      </c>
    </row>
    <row r="13" spans="1:4">
      <c r="A13" t="s">
        <v>35</v>
      </c>
      <c r="B13" t="s">
        <v>67</v>
      </c>
      <c r="C13" t="str">
        <f>change(A13,1,"-",1)</f>
        <v>10+200|11+100|12+4000</v>
      </c>
      <c r="D13" t="s">
        <v>69</v>
      </c>
    </row>
    <row r="14" spans="1:4">
      <c r="A14" t="s">
        <v>35</v>
      </c>
      <c r="B14" t="s">
        <v>72</v>
      </c>
      <c r="C14" t="str">
        <f>change(A14,2,"*",3)</f>
        <v>11+600|12+300|13+12000</v>
      </c>
      <c r="D14" t="s">
        <v>73</v>
      </c>
    </row>
    <row r="15" spans="1:4">
      <c r="A15" t="s">
        <v>35</v>
      </c>
      <c r="B15" t="s">
        <v>74</v>
      </c>
      <c r="C15" t="str">
        <f>change(A15,2,"/",4)</f>
        <v>11+50|12+25|13+1000</v>
      </c>
      <c r="D15" t="s">
        <v>75</v>
      </c>
    </row>
    <row r="16" spans="1:4">
      <c r="A16" t="s">
        <v>76</v>
      </c>
      <c r="B16" t="s">
        <v>77</v>
      </c>
      <c r="C16" t="str">
        <f>change(A16,2,"sub","a")</f>
        <v>11+200|12+100|13+4000</v>
      </c>
      <c r="D16" t="s">
        <v>78</v>
      </c>
    </row>
    <row r="17" spans="1:4">
      <c r="A17" t="s">
        <v>79</v>
      </c>
      <c r="B17" t="s">
        <v>81</v>
      </c>
      <c r="C17" t="str">
        <f>change(A17,2,"sub","好","坏")</f>
        <v>11+很坏|12+特别坏|13+非常坏</v>
      </c>
      <c r="D17" t="s">
        <v>80</v>
      </c>
    </row>
    <row r="18" spans="1:4">
      <c r="A18" t="s">
        <v>99</v>
      </c>
      <c r="B18" t="s">
        <v>100</v>
      </c>
      <c r="C18" t="str">
        <f>change(A17,2,"fix",0)</f>
        <v>11+0|12+0|13+0</v>
      </c>
      <c r="D18" t="s">
        <v>101</v>
      </c>
    </row>
    <row r="20" spans="1:4" s="2" customFormat="1">
      <c r="A20" s="2" t="s">
        <v>84</v>
      </c>
      <c r="B20" s="2" t="s">
        <v>83</v>
      </c>
      <c r="C20" s="2" t="s">
        <v>63</v>
      </c>
    </row>
    <row r="21" spans="1:4">
      <c r="A21" t="s">
        <v>85</v>
      </c>
      <c r="B21" t="s">
        <v>89</v>
      </c>
      <c r="C21" t="s">
        <v>90</v>
      </c>
    </row>
    <row r="22" spans="1:4">
      <c r="A22" t="s">
        <v>86</v>
      </c>
      <c r="B22" t="s">
        <v>102</v>
      </c>
      <c r="C22" t="s">
        <v>103</v>
      </c>
    </row>
    <row r="23" spans="1:4">
      <c r="A23" t="s">
        <v>87</v>
      </c>
      <c r="B23" s="6">
        <v>0</v>
      </c>
      <c r="C23" t="s">
        <v>104</v>
      </c>
    </row>
    <row r="24" spans="1:4">
      <c r="A24" t="s">
        <v>88</v>
      </c>
      <c r="B24" t="s">
        <v>91</v>
      </c>
      <c r="C24" t="s">
        <v>92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2"/>
  <sheetViews>
    <sheetView workbookViewId="0">
      <selection activeCell="C5" sqref="C5"/>
    </sheetView>
  </sheetViews>
  <sheetFormatPr defaultRowHeight="13.5"/>
  <cols>
    <col min="1" max="1" width="81" customWidth="1"/>
    <col min="2" max="2" width="19.25" bestFit="1" customWidth="1"/>
    <col min="3" max="3" width="37.875" customWidth="1"/>
    <col min="4" max="4" width="28.25" customWidth="1"/>
  </cols>
  <sheetData>
    <row r="1" spans="1:4">
      <c r="A1" s="2" t="s">
        <v>53</v>
      </c>
      <c r="B1" s="2" t="s">
        <v>112</v>
      </c>
    </row>
    <row r="2" spans="1:4">
      <c r="A2" t="s">
        <v>110</v>
      </c>
      <c r="B2" t="s">
        <v>111</v>
      </c>
    </row>
    <row r="4" spans="1:4">
      <c r="A4" s="2" t="s">
        <v>34</v>
      </c>
      <c r="B4" s="2" t="s">
        <v>0</v>
      </c>
      <c r="C4" s="2" t="s">
        <v>52</v>
      </c>
      <c r="D4" s="2" t="s">
        <v>68</v>
      </c>
    </row>
    <row r="5" spans="1:4" ht="176.25" customHeight="1">
      <c r="A5" s="1" t="s">
        <v>107</v>
      </c>
      <c r="B5" t="s">
        <v>113</v>
      </c>
      <c r="C5" s="1" t="str">
        <f>resub(A5)</f>
        <v>用于激活时装圣君堂大使将不可能变为可能的魔术，靠着圣君堂的护符，万事皆有可能攻击 + 600防御 + 300生命 + 12000PK减伤 + 0.2%魅力值 + 200</v>
      </c>
      <c r="D5" t="s">
        <v>114</v>
      </c>
    </row>
    <row r="7" spans="1:4">
      <c r="A7" s="2" t="s">
        <v>84</v>
      </c>
      <c r="B7" s="2" t="s">
        <v>5</v>
      </c>
      <c r="C7" s="2" t="s">
        <v>2</v>
      </c>
    </row>
    <row r="8" spans="1:4">
      <c r="A8" t="s">
        <v>115</v>
      </c>
      <c r="C8" t="s">
        <v>119</v>
      </c>
    </row>
    <row r="9" spans="1:4">
      <c r="A9" t="s">
        <v>116</v>
      </c>
      <c r="B9" t="s">
        <v>125</v>
      </c>
      <c r="C9" t="s">
        <v>120</v>
      </c>
    </row>
    <row r="10" spans="1:4">
      <c r="A10" t="s">
        <v>123</v>
      </c>
      <c r="B10" t="s">
        <v>124</v>
      </c>
      <c r="C10" t="s">
        <v>126</v>
      </c>
    </row>
    <row r="11" spans="1:4">
      <c r="A11" t="s">
        <v>117</v>
      </c>
      <c r="B11" t="b">
        <v>1</v>
      </c>
      <c r="C11" t="s">
        <v>121</v>
      </c>
    </row>
    <row r="12" spans="1:4">
      <c r="A12" t="s">
        <v>118</v>
      </c>
      <c r="B12" t="b">
        <v>1</v>
      </c>
      <c r="C12" t="s">
        <v>122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23"/>
  <sheetViews>
    <sheetView workbookViewId="0"/>
  </sheetViews>
  <sheetFormatPr defaultRowHeight="13.5"/>
  <cols>
    <col min="1" max="1" width="23.5" bestFit="1" customWidth="1"/>
    <col min="2" max="2" width="31.75" bestFit="1" customWidth="1"/>
    <col min="3" max="3" width="13" bestFit="1" customWidth="1"/>
    <col min="4" max="4" width="31.75" bestFit="1" customWidth="1"/>
  </cols>
  <sheetData>
    <row r="1" spans="1:4">
      <c r="A1" s="2" t="s">
        <v>53</v>
      </c>
      <c r="B1" s="2" t="s">
        <v>112</v>
      </c>
    </row>
    <row r="2" spans="1:4">
      <c r="A2" t="s">
        <v>134</v>
      </c>
      <c r="B2" t="s">
        <v>139</v>
      </c>
    </row>
    <row r="3" spans="1:4">
      <c r="A3" t="s">
        <v>135</v>
      </c>
      <c r="B3" t="s">
        <v>140</v>
      </c>
    </row>
    <row r="4" spans="1:4">
      <c r="A4" t="s">
        <v>136</v>
      </c>
      <c r="B4" t="s">
        <v>141</v>
      </c>
    </row>
    <row r="5" spans="1:4">
      <c r="A5" t="s">
        <v>137</v>
      </c>
      <c r="B5" t="s">
        <v>142</v>
      </c>
    </row>
    <row r="6" spans="1:4">
      <c r="A6" t="s">
        <v>138</v>
      </c>
      <c r="B6" t="s">
        <v>143</v>
      </c>
    </row>
    <row r="8" spans="1:4">
      <c r="A8" s="2" t="s">
        <v>34</v>
      </c>
      <c r="B8" s="2" t="s">
        <v>0</v>
      </c>
      <c r="C8" s="2" t="s">
        <v>52</v>
      </c>
      <c r="D8" s="2" t="s">
        <v>170</v>
      </c>
    </row>
    <row r="9" spans="1:4">
      <c r="A9" t="s">
        <v>144</v>
      </c>
      <c r="B9" t="s">
        <v>145</v>
      </c>
      <c r="C9">
        <f>getcolor(A9,3)</f>
        <v>255</v>
      </c>
      <c r="D9" t="s">
        <v>171</v>
      </c>
    </row>
    <row r="10" spans="1:4">
      <c r="A10" s="10" t="s">
        <v>146</v>
      </c>
      <c r="B10" t="s">
        <v>147</v>
      </c>
      <c r="C10">
        <f>getcolor(A10,,0)</f>
        <v>49407</v>
      </c>
      <c r="D10" t="s">
        <v>172</v>
      </c>
    </row>
    <row r="11" spans="1:4">
      <c r="A11" t="s">
        <v>151</v>
      </c>
      <c r="B11" t="s">
        <v>148</v>
      </c>
      <c r="C11" t="str">
        <f>ctext(A11)</f>
        <v>激活圣君堂</v>
      </c>
      <c r="D11" t="s">
        <v>173</v>
      </c>
    </row>
    <row r="12" spans="1:4">
      <c r="A12" s="8" t="s">
        <v>149</v>
      </c>
      <c r="B12" t="s">
        <v>150</v>
      </c>
      <c r="C12" t="str">
        <f>ctext(A12,getcolor(A12))</f>
        <v>用于时装大使</v>
      </c>
      <c r="D12" t="s">
        <v>174</v>
      </c>
    </row>
    <row r="13" spans="1:4">
      <c r="A13" s="8" t="s">
        <v>153</v>
      </c>
      <c r="B13" t="s">
        <v>152</v>
      </c>
      <c r="C13" t="str">
        <f>btext(A13)</f>
        <v>圣君堂大使</v>
      </c>
      <c r="D13" t="s">
        <v>175</v>
      </c>
    </row>
    <row r="14" spans="1:4">
      <c r="A14" t="s">
        <v>154</v>
      </c>
      <c r="B14" t="s">
        <v>155</v>
      </c>
      <c r="C14" t="str">
        <f>itext(A14)</f>
        <v>时装</v>
      </c>
      <c r="D14" t="s">
        <v>176</v>
      </c>
    </row>
    <row r="15" spans="1:4">
      <c r="A15" t="s">
        <v>156</v>
      </c>
      <c r="B15" t="s">
        <v>158</v>
      </c>
      <c r="C15" t="str">
        <f>utext(A15)</f>
        <v>圣君堂</v>
      </c>
      <c r="D15" t="s">
        <v>177</v>
      </c>
    </row>
    <row r="16" spans="1:4">
      <c r="A16" t="s">
        <v>157</v>
      </c>
      <c r="B16" t="s">
        <v>159</v>
      </c>
      <c r="C16" t="str">
        <f>utext(A16,0)</f>
        <v>时装</v>
      </c>
      <c r="D16" t="s">
        <v>178</v>
      </c>
    </row>
    <row r="17" spans="1:3">
      <c r="B17" s="9"/>
    </row>
    <row r="18" spans="1:3">
      <c r="A18" s="2" t="s">
        <v>84</v>
      </c>
      <c r="B18" s="2" t="s">
        <v>5</v>
      </c>
      <c r="C18" s="2" t="s">
        <v>2</v>
      </c>
    </row>
    <row r="19" spans="1:3">
      <c r="A19" t="s">
        <v>160</v>
      </c>
      <c r="C19" t="s">
        <v>165</v>
      </c>
    </row>
    <row r="20" spans="1:3">
      <c r="A20" t="s">
        <v>161</v>
      </c>
      <c r="B20">
        <v>1</v>
      </c>
      <c r="C20" t="s">
        <v>162</v>
      </c>
    </row>
    <row r="21" spans="1:3">
      <c r="A21" t="s">
        <v>163</v>
      </c>
      <c r="B21" t="b">
        <v>1</v>
      </c>
      <c r="C21" t="s">
        <v>164</v>
      </c>
    </row>
    <row r="22" spans="1:3">
      <c r="A22" t="s">
        <v>166</v>
      </c>
      <c r="B22">
        <v>255</v>
      </c>
      <c r="C22" t="s">
        <v>167</v>
      </c>
    </row>
    <row r="23" spans="1:3">
      <c r="A23" t="s">
        <v>168</v>
      </c>
      <c r="B23" t="b">
        <v>1</v>
      </c>
      <c r="C23" t="s">
        <v>169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E21"/>
  <sheetViews>
    <sheetView tabSelected="1" topLeftCell="A12" workbookViewId="0">
      <selection activeCell="B26" sqref="B26"/>
    </sheetView>
  </sheetViews>
  <sheetFormatPr defaultRowHeight="13.5"/>
  <cols>
    <col min="2" max="2" width="67.25" customWidth="1"/>
  </cols>
  <sheetData>
    <row r="2" spans="2:3" ht="202.5">
      <c r="B2" s="1" t="s">
        <v>108</v>
      </c>
    </row>
    <row r="4" spans="2:3" ht="27">
      <c r="B4" s="1" t="str">
        <f>resub(B2,C4,"")</f>
        <v>用于激活时装圣君堂大使将不可能变为可能的魔术，靠着圣君堂的护符，万事皆有可能攻击 + 600防御 + 300生命 + 12000PK减伤 + 0.2%魅力值 + 200</v>
      </c>
      <c r="C4" t="s">
        <v>109</v>
      </c>
    </row>
    <row r="8" spans="2:3">
      <c r="B8" t="s">
        <v>179</v>
      </c>
      <c r="C8" t="s">
        <v>180</v>
      </c>
    </row>
    <row r="9" spans="2:3">
      <c r="C9" t="s">
        <v>181</v>
      </c>
    </row>
    <row r="10" spans="2:3">
      <c r="B10" t="str">
        <f>resub(B8,C8,C9)</f>
        <v>wefoweo&lt;em&gt;weoifjoiwef&lt;/em&gt;sdflsdfjois(wepfwpeo)wefwef</v>
      </c>
      <c r="C10" s="11" t="s">
        <v>182</v>
      </c>
    </row>
    <row r="12" spans="2:3" ht="141" customHeight="1">
      <c r="B12" s="1" t="str">
        <f>resub(B2,C13,C14)</f>
        <v>&lt;img src='img://Uiicon_zhuangbeitip_dian.png'&gt;f{圣君堂大使}&lt;/font&gt;&lt;br&gt;&lt;img src='img://Uiicon_zhuangbeitip_dian.png'&gt;f{将不可能变为可能的魔术，靠着圣君堂的护符，万事皆有可能}&lt;br&gt;&lt;img src='img://Uiicon_zhuangbeitip_dian.png'&gt;f{攻击 + 600}&lt;br&gt;&lt;img src='img://Uiicon_zhuangbeitip_dian.png'&gt;f{防御 + 300}&lt;br&gt;&lt;img src='img://Uiicon_zhuangbeitip_dian.png'&gt;f{生命 + 12000}&lt;br&gt;&lt;img src='img://Uiicon_zhuangbeitip_dian.png'&gt;f{PK减伤 + 0.2%}&lt;br&gt;&lt;img src='img://Uiicon_zhuangbeitip_dian.png'&gt;f{魅力值 + 200}&lt;br&gt;</v>
      </c>
    </row>
    <row r="13" spans="2:3">
      <c r="C13" t="s">
        <v>183</v>
      </c>
    </row>
    <row r="14" spans="2:3">
      <c r="C14" t="s">
        <v>184</v>
      </c>
    </row>
    <row r="17" spans="2:5">
      <c r="B17" t="s">
        <v>187</v>
      </c>
      <c r="C17" t="s">
        <v>186</v>
      </c>
      <c r="E17" t="str">
        <f>rematch($B$17,"[^\\]+",ROW(A1)-1)</f>
        <v>C:</v>
      </c>
    </row>
    <row r="18" spans="2:5">
      <c r="B18" t="str">
        <f>rematch(B17,"[^\.]+$")</f>
        <v>rar</v>
      </c>
      <c r="C18" s="12" t="s">
        <v>185</v>
      </c>
      <c r="E18" t="str">
        <f t="shared" ref="E18:E21" si="0">rematch($B$17,"[^\\]+",ROW(A2)-1)</f>
        <v>Users</v>
      </c>
    </row>
    <row r="19" spans="2:5">
      <c r="B19" t="str">
        <f>rematch(B17)</f>
        <v>塔图.rar</v>
      </c>
      <c r="E19" t="str">
        <f t="shared" si="0"/>
        <v>Administrator</v>
      </c>
    </row>
    <row r="20" spans="2:5">
      <c r="E20" t="str">
        <f t="shared" si="0"/>
        <v>Desktop</v>
      </c>
    </row>
    <row r="21" spans="2:5">
      <c r="E21" t="str">
        <f t="shared" si="0"/>
        <v>塔图.rar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使用方法</vt:lpstr>
      <vt:lpstr>html&amp;h2s</vt:lpstr>
      <vt:lpstr>part&amp;join</vt:lpstr>
      <vt:lpstr>change</vt:lpstr>
      <vt:lpstr>resub</vt:lpstr>
      <vt:lpstr>getcolor&amp;etc</vt:lpstr>
      <vt:lpstr>__test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China</cp:lastModifiedBy>
  <dcterms:created xsi:type="dcterms:W3CDTF">2006-09-13T11:21:51Z</dcterms:created>
  <dcterms:modified xsi:type="dcterms:W3CDTF">2017-11-11T10:34:01Z</dcterms:modified>
</cp:coreProperties>
</file>